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ECHNO\Desktop\"/>
    </mc:Choice>
  </mc:AlternateContent>
  <xr:revisionPtr revIDLastSave="0" documentId="13_ncr:1_{15BD639A-BCB6-4B18-B377-8AC63CE6C53D}" xr6:coauthVersionLast="47" xr6:coauthVersionMax="47" xr10:uidLastSave="{00000000-0000-0000-0000-000000000000}"/>
  <bookViews>
    <workbookView xWindow="-120" yWindow="-120" windowWidth="20730" windowHeight="11160" firstSheet="4" activeTab="9" xr2:uid="{00000000-000D-0000-FFFF-FFFF00000000}"/>
  </bookViews>
  <sheets>
    <sheet name="ورقة1" sheetId="1" r:id="rId1"/>
    <sheet name="ورقة2" sheetId="2" r:id="rId2"/>
    <sheet name="ورقة3" sheetId="3" r:id="rId3"/>
    <sheet name="ورقة4" sheetId="4" r:id="rId4"/>
    <sheet name="ورقة5" sheetId="5" r:id="rId5"/>
    <sheet name="الجدول1_2" sheetId="9" r:id="rId6"/>
    <sheet name="ورقة6" sheetId="6" r:id="rId7"/>
    <sheet name="الجدول3" sheetId="10" r:id="rId8"/>
    <sheet name="ورقة7" sheetId="7" r:id="rId9"/>
    <sheet name="ورقة8" sheetId="8" r:id="rId10"/>
  </sheets>
  <definedNames>
    <definedName name="ExternalData_1" localSheetId="7" hidden="1">الجدول3!$A$1:$E$8</definedName>
    <definedName name="ExternalData_1" localSheetId="6" hidden="1">ورقة6!$A$1:$E$10</definedName>
    <definedName name="ExternalData_2" localSheetId="5" hidden="1">الجدول1_2!$A$1:$E$9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8" i="2" s="1"/>
  <c r="B17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74350-D489-4C9B-ADDF-84C944F41491}" keepAlive="1" name="Query - الجدول1_2" description="Connection to the 'الجدول1_2' query in the workbook." type="5" refreshedVersion="8" background="1" saveData="1">
    <dbPr connection="Provider=Microsoft.Mashup.OleDb.1;Data Source=$Workbook$;Location=الجدول1_2;Extended Properties=&quot;&quot;" command="SELECT * FROM [الجدول1_2]"/>
  </connection>
  <connection id="2" xr16:uid="{FC32C98D-3635-47B3-8177-3EC519D7BF94}" keepAlive="1" name="Query - الجدول3" description="Connection to the 'الجدول3' query in the workbook." type="5" refreshedVersion="8" background="1" saveData="1">
    <dbPr connection="Provider=Microsoft.Mashup.OleDb.1;Data Source=$Workbook$;Location=الجدول3;Extended Properties=&quot;&quot;" command="SELECT * FROM [الجدول3]"/>
  </connection>
  <connection id="3" xr16:uid="{00000000-0015-0000-FFFF-FFFF00000000}" keepAlive="1" name="استعلام - ‏‏الجدول1" description="‏‏الاتصال بالاستعلام 'الجدول1' في المصنف." type="5" refreshedVersion="6" background="1" saveData="1">
    <dbPr connection="Provider=Microsoft.Mashup.OleDb.1;Data Source=$Workbook$;Location=الجدول1;Extended Properties=&quot;&quot;" command="SELECT * FROM [الجدول1]"/>
  </connection>
</connections>
</file>

<file path=xl/sharedStrings.xml><?xml version="1.0" encoding="utf-8"?>
<sst xmlns="http://schemas.openxmlformats.org/spreadsheetml/2006/main" count="299" uniqueCount="129">
  <si>
    <t>تدريب 1: أنواع البيانات واستخراج المعلومات</t>
  </si>
  <si>
    <t>اقرأ الجدول ثم أجب عن الأسئلة في الأسفل</t>
  </si>
  <si>
    <t>الاسم</t>
  </si>
  <si>
    <t>العمر</t>
  </si>
  <si>
    <t>المدينة</t>
  </si>
  <si>
    <t>عدد المشتريات</t>
  </si>
  <si>
    <t>نوع الجهاز</t>
  </si>
  <si>
    <t>ملاحظات</t>
  </si>
  <si>
    <t>أحمد</t>
  </si>
  <si>
    <t>الرياض</t>
  </si>
  <si>
    <t>هاتف</t>
  </si>
  <si>
    <t>نشط</t>
  </si>
  <si>
    <t>سارة</t>
  </si>
  <si>
    <t>جدة</t>
  </si>
  <si>
    <t>حاسوب</t>
  </si>
  <si>
    <t>نشطة جدًا</t>
  </si>
  <si>
    <t>خالد</t>
  </si>
  <si>
    <t>الدمام</t>
  </si>
  <si>
    <t>يحتاج دعم</t>
  </si>
  <si>
    <t>مريم</t>
  </si>
  <si>
    <t>لوحي</t>
  </si>
  <si>
    <t>متوسطة</t>
  </si>
  <si>
    <t>عبدالله</t>
  </si>
  <si>
    <t>مكة</t>
  </si>
  <si>
    <t>الأعلى شراء</t>
  </si>
  <si>
    <t>أسئلة النشاط</t>
  </si>
  <si>
    <t>1) ما الأعمدة النصية في الجدول؟</t>
  </si>
  <si>
    <t>2) ما العمود الرقمي؟</t>
  </si>
  <si>
    <t>3) من لديه أكبر عدد مشتريات؟</t>
  </si>
  <si>
    <t>4) ما متوسط العمر؟</t>
  </si>
  <si>
    <t>5) اكتب سؤالًا واحدًا يمكن تحليله من هذا الجدول.</t>
  </si>
  <si>
    <t>تدريب 2: قراءة البيانات وتحليلها</t>
  </si>
  <si>
    <t>بيانات مبيعات أسبوع واحد — استخدمها لاستخراج النتائج</t>
  </si>
  <si>
    <t>اليوم</t>
  </si>
  <si>
    <t>الطلبات</t>
  </si>
  <si>
    <t>المبيعات</t>
  </si>
  <si>
    <t>العملاء الجدد</t>
  </si>
  <si>
    <t>المرتجعات</t>
  </si>
  <si>
    <t>تفسيرك</t>
  </si>
  <si>
    <t>السبت</t>
  </si>
  <si>
    <t>بداية الأسبوع</t>
  </si>
  <si>
    <t>الأحد</t>
  </si>
  <si>
    <t>أعلى طلب</t>
  </si>
  <si>
    <t>الاثنين</t>
  </si>
  <si>
    <t>انخفاض بسيط</t>
  </si>
  <si>
    <t>الثلاثاء</t>
  </si>
  <si>
    <t>استقرار</t>
  </si>
  <si>
    <t>الأربعاء</t>
  </si>
  <si>
    <t>تحسن</t>
  </si>
  <si>
    <t>الخميس</t>
  </si>
  <si>
    <t>أفضل يوم</t>
  </si>
  <si>
    <t>الجمعة</t>
  </si>
  <si>
    <t>هدوء نسبي</t>
  </si>
  <si>
    <t>مهام الطلاب</t>
  </si>
  <si>
    <t>1) ما اليوم الأعلى في المبيعات؟</t>
  </si>
  <si>
    <t>2) ما مجموع المبيعات خلال الأسبوع؟</t>
  </si>
  <si>
    <t>3) ما متوسط الطلبات اليومية؟</t>
  </si>
  <si>
    <t>4) ماهو أقل عدد مرتجعات؟</t>
  </si>
  <si>
    <t>5) اكتب استنتاجًا واحدًا من هذه البيانات.</t>
  </si>
  <si>
    <t>تدريب 3: بيانات استخدام منصة ألعاب تعليمية</t>
  </si>
  <si>
    <t>طابق كل مهنة مع الوصف المناسب، ثم حدّد المهارة الأهم</t>
  </si>
  <si>
    <t>اسم الطالب</t>
  </si>
  <si>
    <t>عدد الساعات</t>
  </si>
  <si>
    <t>عدد الألعاب</t>
  </si>
  <si>
    <t>النقاط</t>
  </si>
  <si>
    <t>الاشتراك</t>
  </si>
  <si>
    <t>مستوى الأداء</t>
  </si>
  <si>
    <t>نعم</t>
  </si>
  <si>
    <t>لا</t>
  </si>
  <si>
    <t>علي</t>
  </si>
  <si>
    <t>نورة</t>
  </si>
  <si>
    <t>يوسف</t>
  </si>
  <si>
    <t>احسب مجموع النقاط</t>
  </si>
  <si>
    <t>احسب متوسط عدد الساعات</t>
  </si>
  <si>
    <t>ماأعلى عدد ألعاب</t>
  </si>
  <si>
    <t>عدد الطلاب المشتركين</t>
  </si>
  <si>
    <t>بالنسبة الى D7 إذا كانت فوق 300 ممتاز وإلا ضعيف</t>
  </si>
  <si>
    <t>احسب متوسط النقاط فقط للطلاب المشتركين</t>
  </si>
  <si>
    <t>عدد بشرطين: كم عدد الطلاب الذين عدد ساعاتهم أكبر من 5 واشتراكهم "نعم"</t>
  </si>
  <si>
    <t>اكتب استنتاجًا واحدًا من البيانات</t>
  </si>
  <si>
    <t>اختبار قصير: ما هو علم البيانات؟</t>
  </si>
  <si>
    <t>اختر الإجابة الصحيحة، ثم راجع مفتاح الإجابة في الورقة الأخيرة</t>
  </si>
  <si>
    <t>السؤال</t>
  </si>
  <si>
    <t>ما هو علم البيانات؟</t>
  </si>
  <si>
    <t>أحد مصادر البيانات يمكن أن يكون:</t>
  </si>
  <si>
    <t>العلم الأكثر ارتباطًا بعلم البيانات:</t>
  </si>
  <si>
    <t>من مهام عالم البيانات:</t>
  </si>
  <si>
    <t>الهدف من تحليل البيانات:</t>
  </si>
  <si>
    <t>الشهر</t>
  </si>
  <si>
    <t>يناير</t>
  </si>
  <si>
    <t>فبراير</t>
  </si>
  <si>
    <t>مارس</t>
  </si>
  <si>
    <t>العميل</t>
  </si>
  <si>
    <t>المنتج</t>
  </si>
  <si>
    <t>المبلغ</t>
  </si>
  <si>
    <t>قلم</t>
  </si>
  <si>
    <t>دفتر</t>
  </si>
  <si>
    <t>حقيبة</t>
  </si>
  <si>
    <t>ريم</t>
  </si>
  <si>
    <t>عمر</t>
  </si>
  <si>
    <t>ليلى</t>
  </si>
  <si>
    <t>تبيما</t>
  </si>
  <si>
    <t>ياسر</t>
  </si>
  <si>
    <t>احمد</t>
  </si>
  <si>
    <t>فبرابر</t>
  </si>
  <si>
    <t>حقيبه</t>
  </si>
  <si>
    <t>محمد</t>
  </si>
  <si>
    <t>ساره</t>
  </si>
  <si>
    <t>نور</t>
  </si>
  <si>
    <t>ابريل</t>
  </si>
  <si>
    <t>مايو</t>
  </si>
  <si>
    <t>يونيو</t>
  </si>
  <si>
    <t>Employee ID</t>
  </si>
  <si>
    <t>القسم</t>
  </si>
  <si>
    <t>ساعات العمل الأسبوعية</t>
  </si>
  <si>
    <t>معدل الساعة ($)</t>
  </si>
  <si>
    <t>سن الموظف</t>
  </si>
  <si>
    <t>عدد أيام الغياب</t>
  </si>
  <si>
    <t>التسويق</t>
  </si>
  <si>
    <t>المحاسبة</t>
  </si>
  <si>
    <t>حسن</t>
  </si>
  <si>
    <t>ندى</t>
  </si>
  <si>
    <t>سامر</t>
  </si>
  <si>
    <t>إيجاد الموظف الأعلى أجرًا</t>
  </si>
  <si>
    <t>حساب متوسط ساعات العمل</t>
  </si>
  <si>
    <t>عد الموظفين الذين عملوا أكثر من 40 ساعة</t>
  </si>
  <si>
    <t>حساب مجموع الساعات</t>
  </si>
  <si>
    <t>تربيع سن الموظف الأول</t>
  </si>
  <si>
    <t>"استخدموا البيانات الموجودة لإنشاء رسم بياني يوضح العلاقة بين ساعات العمل الأسبوعية و سن الموظف لكل موظف. ثم استنتجوا إذا كانت هناك أي علاقة بين العمر وعدد ساعات العمل. اكتبوا ملاحظاتكم عن الاتجاه العام (زيادة، نقصان، أو لا علاقة واضحة).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</si>
</sst>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b/>
      <sz val="16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1F1F1F"/>
      <name val="Arial"/>
    </font>
    <font>
      <sz val="11"/>
      <name val="Arial"/>
      <family val="2"/>
    </font>
    <font>
      <b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2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0" xfId="0" applyFill="1"/>
    <xf numFmtId="0" fontId="0" fillId="6" borderId="3" xfId="0" applyFill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 indent="1"/>
    </xf>
    <xf numFmtId="0" fontId="0" fillId="5" borderId="2" xfId="0" applyFill="1" applyBorder="1"/>
    <xf numFmtId="0" fontId="0" fillId="0" borderId="2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520122484689421"/>
          <c:y val="8.333333333333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ورقة3!$D$5</c:f>
              <c:strCache>
                <c:ptCount val="1"/>
                <c:pt idx="0">
                  <c:v>النقاط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ورقة3!$B$6:$B$12</c:f>
              <c:numCache>
                <c:formatCode>General</c:formatCode>
                <c:ptCount val="7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</c:numCache>
            </c:numRef>
          </c:xVal>
          <c:yVal>
            <c:numRef>
              <c:f>ورقة3!$D$6:$D$12</c:f>
              <c:numCache>
                <c:formatCode>General</c:formatCode>
                <c:ptCount val="7"/>
                <c:pt idx="0">
                  <c:v>240</c:v>
                </c:pt>
                <c:pt idx="1">
                  <c:v>360</c:v>
                </c:pt>
                <c:pt idx="2">
                  <c:v>140</c:v>
                </c:pt>
                <c:pt idx="3">
                  <c:v>300</c:v>
                </c:pt>
                <c:pt idx="4">
                  <c:v>100</c:v>
                </c:pt>
                <c:pt idx="5">
                  <c:v>400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F-4D47-BD02-2120C2C3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769984"/>
        <c:axId val="1944753664"/>
      </c:scatterChart>
      <c:valAx>
        <c:axId val="194476998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944753664"/>
        <c:crosses val="autoZero"/>
        <c:crossBetween val="midCat"/>
      </c:valAx>
      <c:valAx>
        <c:axId val="19447536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94476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ورقة8!$D$1</c:f>
              <c:strCache>
                <c:ptCount val="1"/>
                <c:pt idx="0">
                  <c:v>ساعات العمل الأسبوعية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ورقة8!$D$2:$D$11</c:f>
              <c:numCache>
                <c:formatCode>General</c:formatCode>
                <c:ptCount val="10"/>
                <c:pt idx="0">
                  <c:v>45</c:v>
                </c:pt>
                <c:pt idx="1">
                  <c:v>38</c:v>
                </c:pt>
                <c:pt idx="2">
                  <c:v>50</c:v>
                </c:pt>
                <c:pt idx="3">
                  <c:v>42</c:v>
                </c:pt>
                <c:pt idx="4">
                  <c:v>36</c:v>
                </c:pt>
                <c:pt idx="5">
                  <c:v>40</c:v>
                </c:pt>
                <c:pt idx="6">
                  <c:v>48</c:v>
                </c:pt>
                <c:pt idx="7">
                  <c:v>37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4-4E7B-A1C7-04461354E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772384"/>
        <c:axId val="1944783904"/>
      </c:barChart>
      <c:lineChart>
        <c:grouping val="standard"/>
        <c:varyColors val="0"/>
        <c:ser>
          <c:idx val="1"/>
          <c:order val="1"/>
          <c:tx>
            <c:strRef>
              <c:f>ورقة8!$F$1</c:f>
              <c:strCache>
                <c:ptCount val="1"/>
                <c:pt idx="0">
                  <c:v>سن الموظف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ورقة8!$F$2:$F$11</c:f>
              <c:numCache>
                <c:formatCode>General</c:formatCode>
                <c:ptCount val="10"/>
                <c:pt idx="0">
                  <c:v>28</c:v>
                </c:pt>
                <c:pt idx="1">
                  <c:v>32</c:v>
                </c:pt>
                <c:pt idx="2">
                  <c:v>26</c:v>
                </c:pt>
                <c:pt idx="3">
                  <c:v>29</c:v>
                </c:pt>
                <c:pt idx="4">
                  <c:v>35</c:v>
                </c:pt>
                <c:pt idx="5">
                  <c:v>31</c:v>
                </c:pt>
                <c:pt idx="6">
                  <c:v>27</c:v>
                </c:pt>
                <c:pt idx="7">
                  <c:v>33</c:v>
                </c:pt>
                <c:pt idx="8">
                  <c:v>30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4-4E7B-A1C7-04461354E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772384"/>
        <c:axId val="1944783904"/>
      </c:lineChart>
      <c:catAx>
        <c:axId val="1944772384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944783904"/>
        <c:auto val="1"/>
        <c:lblAlgn val="ctr"/>
        <c:lblOffset val="100"/>
        <c:noMultiLvlLbl val="0"/>
      </c:catAx>
      <c:valAx>
        <c:axId val="19447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Y"/>
          </a:p>
        </c:txPr>
        <c:crossAx val="194477238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3976688</xdr:colOff>
      <xdr:row>5</xdr:row>
      <xdr:rowOff>0</xdr:rowOff>
    </xdr:from>
    <xdr:to>
      <xdr:col>5</xdr:col>
      <xdr:colOff>176213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8F5FC-57C4-6225-10F5-FFCE8E12C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3976688</xdr:colOff>
      <xdr:row>1</xdr:row>
      <xdr:rowOff>133350</xdr:rowOff>
    </xdr:from>
    <xdr:to>
      <xdr:col>7</xdr:col>
      <xdr:colOff>138113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2EC8D-A516-A99A-857A-857D257B6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2AEA3B4-47B5-4C9E-8B33-86AE88DA5A36}" autoFormatId="16" applyNumberFormats="0" applyBorderFormats="0" applyFontFormats="0" applyPatternFormats="0" applyAlignmentFormats="0" applyWidthHeightFormats="0">
  <queryTableRefresh nextId="6">
    <queryTableFields count="5">
      <queryTableField id="1" name="العميل" tableColumnId="1"/>
      <queryTableField id="2" name="الشهر" tableColumnId="2"/>
      <queryTableField id="3" name="المنتج" tableColumnId="3"/>
      <queryTableField id="4" name="عدد المشتريات" tableColumnId="4"/>
      <queryTableField id="5" name="المبلغ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500-000000000000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العميل" tableColumnId="21"/>
      <queryTableField id="2" name="الشهر" tableColumnId="22"/>
      <queryTableField id="3" name="المنتج" tableColumnId="23"/>
      <queryTableField id="4" name="عدد المشتريات" tableColumnId="24"/>
      <queryTableField id="5" name="المبلغ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9B03A4-A2F3-47C8-8089-CF8DB1A55335}" autoFormatId="16" applyNumberFormats="0" applyBorderFormats="0" applyFontFormats="0" applyPatternFormats="0" applyAlignmentFormats="0" applyWidthHeightFormats="0">
  <queryTableRefresh nextId="6">
    <queryTableFields count="5">
      <queryTableField id="1" name="العميل" tableColumnId="1"/>
      <queryTableField id="2" name="الشهر" tableColumnId="2"/>
      <queryTableField id="3" name="المنتج" tableColumnId="3"/>
      <queryTableField id="4" name="عدد المشتريات" tableColumnId="4"/>
      <queryTableField id="5" name="المبلغ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:E7" totalsRowShown="0" headerRowDxfId="24" dataDxfId="23">
  <autoFilter ref="A1:E7" xr:uid="{00000000-0009-0000-0100-000001000000}"/>
  <tableColumns count="5">
    <tableColumn id="1" xr3:uid="{00000000-0010-0000-0000-000001000000}" name="العميل" dataDxfId="22"/>
    <tableColumn id="2" xr3:uid="{00000000-0010-0000-0000-000002000000}" name="الشهر" dataDxfId="21"/>
    <tableColumn id="3" xr3:uid="{00000000-0010-0000-0000-000003000000}" name="المنتج" dataDxfId="20"/>
    <tableColumn id="4" xr3:uid="{00000000-0010-0000-0000-000004000000}" name="عدد المشتريات" dataDxfId="19"/>
    <tableColumn id="5" xr3:uid="{00000000-0010-0000-0000-000005000000}" name="المبلغ" dataDxfId="1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C979E7-455F-4EBC-87E7-C239EE65BD08}" name="الجدول1_3" displayName="الجدول1_3" ref="A1:E9" tableType="queryTable" totalsRowShown="0">
  <autoFilter ref="A1:E9" xr:uid="{5BC979E7-455F-4EBC-87E7-C239EE65BD08}"/>
  <tableColumns count="5">
    <tableColumn id="1" xr3:uid="{60530FE9-5DC2-497E-A48F-580026F4C5BF}" uniqueName="1" name="العميل" queryTableFieldId="1" dataDxfId="5"/>
    <tableColumn id="2" xr3:uid="{76FD882F-1069-4C42-A6F9-9BCDA7A18958}" uniqueName="2" name="الشهر" queryTableFieldId="2" dataDxfId="4"/>
    <tableColumn id="3" xr3:uid="{8861C08D-7031-4679-BE82-A819F972E725}" uniqueName="3" name="المنتج" queryTableFieldId="3" dataDxfId="3"/>
    <tableColumn id="4" xr3:uid="{FB333FEB-2428-4C5D-B5ED-5D4B84109EAF}" uniqueName="4" name="عدد المشتريات" queryTableFieldId="4"/>
    <tableColumn id="5" xr3:uid="{C5A37D93-FE5B-4C6F-AC92-564B1EE72C9D}" uniqueName="5" name="المبلغ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الجدول1_2" displayName="الجدول1_2" ref="A1:E10" tableType="queryTable" totalsRowShown="0">
  <tableColumns count="5">
    <tableColumn id="21" xr3:uid="{00000000-0010-0000-0100-000015000000}" uniqueName="21" name="العميل" queryTableFieldId="1" dataDxfId="17"/>
    <tableColumn id="22" xr3:uid="{00000000-0010-0000-0100-000016000000}" uniqueName="22" name="الشهر" queryTableFieldId="2" dataDxfId="16"/>
    <tableColumn id="23" xr3:uid="{00000000-0010-0000-0100-000017000000}" uniqueName="23" name="المنتج" queryTableFieldId="3" dataDxfId="15"/>
    <tableColumn id="24" xr3:uid="{00000000-0010-0000-0100-000018000000}" uniqueName="24" name="عدد المشتريات" queryTableFieldId="4" dataDxfId="14"/>
    <tableColumn id="25" xr3:uid="{00000000-0010-0000-0100-000019000000}" uniqueName="25" name="المبلغ" queryTableFieldId="5" dataDxfId="13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34A219-29B7-4E7A-99E7-F6B99D2B82A1}" name="الجدول3_1" displayName="الجدول3_1" ref="A1:E8" tableType="queryTable" totalsRowShown="0">
  <autoFilter ref="A1:E8" xr:uid="{F234A219-29B7-4E7A-99E7-F6B99D2B82A1}"/>
  <tableColumns count="5">
    <tableColumn id="1" xr3:uid="{074351D8-319A-4E61-B7BC-502059353543}" uniqueName="1" name="العميل" queryTableFieldId="1" dataDxfId="2"/>
    <tableColumn id="2" xr3:uid="{07060860-FDA6-4E26-89A9-50BA51850734}" uniqueName="2" name="الشهر" queryTableFieldId="2" dataDxfId="1"/>
    <tableColumn id="3" xr3:uid="{FA6B4B19-1E81-413A-B04D-10E19E089B29}" uniqueName="3" name="المنتج" queryTableFieldId="3" dataDxfId="0"/>
    <tableColumn id="4" xr3:uid="{235843C3-28AD-4AAA-9EDC-17D6CA82C118}" uniqueName="4" name="عدد المشتريات" queryTableFieldId="4"/>
    <tableColumn id="5" xr3:uid="{87076666-CDBC-489C-843F-379799C9442F}" uniqueName="5" name="المبلغ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الجدول3" displayName="الجدول3" ref="A1:E21" totalsRowShown="0" headerRowDxfId="12" dataDxfId="11">
  <autoFilter ref="A1:E21" xr:uid="{00000000-0009-0000-0100-000003000000}"/>
  <tableColumns count="5">
    <tableColumn id="1" xr3:uid="{00000000-0010-0000-0200-000001000000}" name="العميل" dataDxfId="10"/>
    <tableColumn id="2" xr3:uid="{00000000-0010-0000-0200-000002000000}" name="الشهر" dataDxfId="9"/>
    <tableColumn id="3" xr3:uid="{00000000-0010-0000-0200-000003000000}" name="المنتج" dataDxfId="8"/>
    <tableColumn id="4" xr3:uid="{00000000-0010-0000-0200-000004000000}" name="عدد المشتريات" dataDxfId="7"/>
    <tableColumn id="5" xr3:uid="{00000000-0010-0000-0200-000005000000}" name="المبلغ" dataDxfId="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33.875" customWidth="1"/>
    <col min="2" max="2" width="17.125" customWidth="1"/>
    <col min="3" max="3" width="16.125" customWidth="1"/>
    <col min="4" max="4" width="17" customWidth="1"/>
    <col min="5" max="5" width="19.875" customWidth="1"/>
    <col min="6" max="6" width="31" customWidth="1"/>
  </cols>
  <sheetData>
    <row r="1" spans="1:6" ht="15" thickBot="1" x14ac:dyDescent="0.25">
      <c r="A1" s="20" t="s">
        <v>0</v>
      </c>
      <c r="B1" s="21"/>
      <c r="C1" s="21"/>
      <c r="D1" s="21"/>
      <c r="E1" s="21"/>
      <c r="F1" s="21"/>
    </row>
    <row r="2" spans="1:6" ht="15" thickBot="1" x14ac:dyDescent="0.25"/>
    <row r="3" spans="1:6" ht="15" thickBot="1" x14ac:dyDescent="0.25">
      <c r="A3" s="22" t="s">
        <v>1</v>
      </c>
      <c r="B3" s="21"/>
      <c r="C3" s="21"/>
      <c r="D3" s="21"/>
      <c r="E3" s="21"/>
      <c r="F3" s="21"/>
    </row>
    <row r="5" spans="1:6" ht="15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x14ac:dyDescent="0.2">
      <c r="A6" s="3" t="s">
        <v>8</v>
      </c>
      <c r="B6" s="3">
        <v>17</v>
      </c>
      <c r="C6" s="3" t="s">
        <v>9</v>
      </c>
      <c r="D6" s="4">
        <v>8</v>
      </c>
      <c r="E6" s="3" t="s">
        <v>10</v>
      </c>
      <c r="F6" s="3" t="s">
        <v>11</v>
      </c>
    </row>
    <row r="7" spans="1:6" x14ac:dyDescent="0.2">
      <c r="A7" s="3" t="s">
        <v>12</v>
      </c>
      <c r="B7" s="3">
        <v>18</v>
      </c>
      <c r="C7" s="3" t="s">
        <v>13</v>
      </c>
      <c r="D7" s="4">
        <v>12</v>
      </c>
      <c r="E7" s="3" t="s">
        <v>14</v>
      </c>
      <c r="F7" s="3" t="s">
        <v>15</v>
      </c>
    </row>
    <row r="8" spans="1:6" x14ac:dyDescent="0.2">
      <c r="A8" s="3" t="s">
        <v>16</v>
      </c>
      <c r="B8" s="3">
        <v>16</v>
      </c>
      <c r="C8" s="3" t="s">
        <v>17</v>
      </c>
      <c r="D8" s="4">
        <v>5</v>
      </c>
      <c r="E8" s="3" t="s">
        <v>10</v>
      </c>
      <c r="F8" s="3" t="s">
        <v>18</v>
      </c>
    </row>
    <row r="9" spans="1:6" x14ac:dyDescent="0.2">
      <c r="A9" s="3" t="s">
        <v>19</v>
      </c>
      <c r="B9" s="3">
        <v>17</v>
      </c>
      <c r="C9" s="3" t="s">
        <v>9</v>
      </c>
      <c r="D9" s="4">
        <v>9</v>
      </c>
      <c r="E9" s="3" t="s">
        <v>20</v>
      </c>
      <c r="F9" s="3" t="s">
        <v>21</v>
      </c>
    </row>
    <row r="10" spans="1:6" x14ac:dyDescent="0.2">
      <c r="A10" s="3" t="s">
        <v>22</v>
      </c>
      <c r="B10" s="3">
        <v>19</v>
      </c>
      <c r="C10" s="3" t="s">
        <v>23</v>
      </c>
      <c r="D10" s="4">
        <v>14</v>
      </c>
      <c r="E10" s="3" t="s">
        <v>14</v>
      </c>
      <c r="F10" s="3" t="s">
        <v>24</v>
      </c>
    </row>
    <row r="12" spans="1:6" ht="15" thickBot="1" x14ac:dyDescent="0.25"/>
    <row r="13" spans="1:6" ht="15" thickBot="1" x14ac:dyDescent="0.25">
      <c r="A13" s="22" t="s">
        <v>25</v>
      </c>
      <c r="B13" s="21"/>
      <c r="C13" s="21"/>
      <c r="D13" s="21"/>
      <c r="E13" s="21"/>
      <c r="F13" s="21"/>
    </row>
    <row r="14" spans="1:6" x14ac:dyDescent="0.2">
      <c r="A14" s="1" t="s">
        <v>26</v>
      </c>
      <c r="E14" s="18"/>
      <c r="F14" s="19"/>
    </row>
    <row r="15" spans="1:6" x14ac:dyDescent="0.2">
      <c r="A15" s="1" t="s">
        <v>27</v>
      </c>
      <c r="E15" s="18"/>
      <c r="F15" s="19"/>
    </row>
    <row r="16" spans="1:6" x14ac:dyDescent="0.2">
      <c r="A16" s="1" t="s">
        <v>28</v>
      </c>
      <c r="E16" s="18"/>
      <c r="F16" s="19"/>
    </row>
    <row r="17" spans="1:6" x14ac:dyDescent="0.2">
      <c r="A17" s="1" t="s">
        <v>29</v>
      </c>
      <c r="E17" s="18"/>
      <c r="F17" s="19"/>
    </row>
    <row r="18" spans="1:6" x14ac:dyDescent="0.2">
      <c r="A18" s="1" t="s">
        <v>30</v>
      </c>
      <c r="E18" s="18"/>
      <c r="F18" s="19"/>
    </row>
  </sheetData>
  <mergeCells count="8">
    <mergeCell ref="E18:F18"/>
    <mergeCell ref="E15:F15"/>
    <mergeCell ref="E16:F16"/>
    <mergeCell ref="E17:F17"/>
    <mergeCell ref="A1:F1"/>
    <mergeCell ref="A3:F3"/>
    <mergeCell ref="A13:F13"/>
    <mergeCell ref="E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rightToLeft="1" workbookViewId="0">
      <selection activeCell="B19" sqref="B19"/>
    </sheetView>
  </sheetViews>
  <sheetFormatPr defaultRowHeight="14.25" x14ac:dyDescent="0.2"/>
  <cols>
    <col min="1" max="1" width="30.75" customWidth="1"/>
    <col min="2" max="2" width="15.5" customWidth="1"/>
    <col min="3" max="3" width="17.25" customWidth="1"/>
    <col min="4" max="4" width="15.25" customWidth="1"/>
    <col min="5" max="5" width="12.75" customWidth="1"/>
    <col min="6" max="6" width="12.625" customWidth="1"/>
    <col min="7" max="7" width="20.75" customWidth="1"/>
  </cols>
  <sheetData>
    <row r="1" spans="1:7" ht="15" thickBot="1" x14ac:dyDescent="0.25">
      <c r="A1" s="20" t="s">
        <v>31</v>
      </c>
      <c r="B1" s="21"/>
      <c r="C1" s="21"/>
      <c r="D1" s="21"/>
      <c r="E1" s="21"/>
      <c r="F1" s="21"/>
      <c r="G1" s="21"/>
    </row>
    <row r="2" spans="1:7" ht="15" thickBot="1" x14ac:dyDescent="0.25"/>
    <row r="3" spans="1:7" ht="15" thickBot="1" x14ac:dyDescent="0.25">
      <c r="A3" s="22" t="s">
        <v>32</v>
      </c>
      <c r="B3" s="21"/>
      <c r="C3" s="21"/>
      <c r="D3" s="21"/>
      <c r="E3" s="21"/>
      <c r="F3" s="21"/>
      <c r="G3" s="21"/>
    </row>
    <row r="5" spans="1:7" ht="15" x14ac:dyDescent="0.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7</v>
      </c>
      <c r="G5" s="2" t="s">
        <v>38</v>
      </c>
    </row>
    <row r="6" spans="1:7" x14ac:dyDescent="0.2">
      <c r="A6" s="3" t="s">
        <v>39</v>
      </c>
      <c r="B6" s="4">
        <v>24</v>
      </c>
      <c r="C6" s="4">
        <v>1200</v>
      </c>
      <c r="D6" s="4">
        <v>7</v>
      </c>
      <c r="E6" s="4">
        <v>1</v>
      </c>
      <c r="F6" s="3" t="s">
        <v>40</v>
      </c>
      <c r="G6" s="3"/>
    </row>
    <row r="7" spans="1:7" x14ac:dyDescent="0.2">
      <c r="A7" s="3" t="s">
        <v>41</v>
      </c>
      <c r="B7" s="4">
        <v>30</v>
      </c>
      <c r="C7" s="4">
        <v>1500</v>
      </c>
      <c r="D7" s="4">
        <v>9</v>
      </c>
      <c r="E7" s="4">
        <v>2</v>
      </c>
      <c r="F7" s="3" t="s">
        <v>42</v>
      </c>
      <c r="G7" s="3"/>
    </row>
    <row r="8" spans="1:7" x14ac:dyDescent="0.2">
      <c r="A8" s="3" t="s">
        <v>43</v>
      </c>
      <c r="B8" s="4">
        <v>18</v>
      </c>
      <c r="C8" s="4">
        <v>900</v>
      </c>
      <c r="D8" s="4">
        <v>4</v>
      </c>
      <c r="E8" s="4">
        <v>0</v>
      </c>
      <c r="F8" s="3" t="s">
        <v>44</v>
      </c>
      <c r="G8" s="3"/>
    </row>
    <row r="9" spans="1:7" x14ac:dyDescent="0.2">
      <c r="A9" s="3" t="s">
        <v>45</v>
      </c>
      <c r="B9" s="4">
        <v>22</v>
      </c>
      <c r="C9" s="4">
        <v>1100</v>
      </c>
      <c r="D9" s="4">
        <v>6</v>
      </c>
      <c r="E9" s="4">
        <v>1</v>
      </c>
      <c r="F9" s="3" t="s">
        <v>46</v>
      </c>
      <c r="G9" s="3"/>
    </row>
    <row r="10" spans="1:7" x14ac:dyDescent="0.2">
      <c r="A10" s="3" t="s">
        <v>47</v>
      </c>
      <c r="B10" s="4">
        <v>26</v>
      </c>
      <c r="C10" s="4">
        <v>1400</v>
      </c>
      <c r="D10" s="4">
        <v>8</v>
      </c>
      <c r="E10" s="4">
        <v>1</v>
      </c>
      <c r="F10" s="3" t="s">
        <v>48</v>
      </c>
      <c r="G10" s="3"/>
    </row>
    <row r="11" spans="1:7" x14ac:dyDescent="0.2">
      <c r="A11" s="3" t="s">
        <v>49</v>
      </c>
      <c r="B11" s="4">
        <v>34</v>
      </c>
      <c r="C11" s="4">
        <v>1700</v>
      </c>
      <c r="D11" s="4">
        <v>10</v>
      </c>
      <c r="E11" s="4">
        <v>2</v>
      </c>
      <c r="F11" s="3" t="s">
        <v>50</v>
      </c>
      <c r="G11" s="3"/>
    </row>
    <row r="12" spans="1:7" x14ac:dyDescent="0.2">
      <c r="A12" s="3" t="s">
        <v>51</v>
      </c>
      <c r="B12" s="4">
        <v>20</v>
      </c>
      <c r="C12" s="4">
        <v>1000</v>
      </c>
      <c r="D12" s="4">
        <v>5</v>
      </c>
      <c r="E12" s="4">
        <v>0</v>
      </c>
      <c r="F12" s="3" t="s">
        <v>52</v>
      </c>
      <c r="G12" s="3"/>
    </row>
    <row r="13" spans="1:7" ht="15" thickBot="1" x14ac:dyDescent="0.25">
      <c r="C13">
        <f>SUM(C6:C12)</f>
        <v>8800</v>
      </c>
    </row>
    <row r="14" spans="1:7" ht="15" thickBot="1" x14ac:dyDescent="0.25">
      <c r="A14" s="22" t="s">
        <v>53</v>
      </c>
      <c r="B14" s="21"/>
      <c r="C14" s="21"/>
      <c r="D14" s="21"/>
      <c r="E14" s="21"/>
      <c r="F14" s="21"/>
      <c r="G14" s="21"/>
    </row>
    <row r="15" spans="1:7" x14ac:dyDescent="0.2">
      <c r="A15" s="1" t="s">
        <v>54</v>
      </c>
      <c r="E15" s="5"/>
      <c r="F15" s="7"/>
      <c r="G15" s="6"/>
    </row>
    <row r="16" spans="1:7" x14ac:dyDescent="0.2">
      <c r="A16" s="23" t="s">
        <v>55</v>
      </c>
      <c r="B16" s="21"/>
      <c r="C16" s="21"/>
      <c r="D16" s="21"/>
      <c r="E16" s="5"/>
      <c r="F16" s="7"/>
      <c r="G16" s="6"/>
    </row>
    <row r="17" spans="1:7" x14ac:dyDescent="0.2">
      <c r="A17" s="1" t="s">
        <v>56</v>
      </c>
      <c r="B17">
        <f>AVERAGE(B6:B12)</f>
        <v>24.857142857142858</v>
      </c>
      <c r="E17" s="5"/>
      <c r="F17" s="7"/>
      <c r="G17" s="6"/>
    </row>
    <row r="18" spans="1:7" x14ac:dyDescent="0.2">
      <c r="A18" s="1" t="s">
        <v>57</v>
      </c>
      <c r="B18" t="b">
        <f>ورقة3!B17=ورقة3!B18=ورقة3!B18=ورقة3!B18+ورقة3!B18=ورقة3!B18</f>
        <v>0</v>
      </c>
      <c r="E18" s="5"/>
      <c r="F18" s="7"/>
      <c r="G18" s="6"/>
    </row>
    <row r="19" spans="1:7" x14ac:dyDescent="0.2">
      <c r="A19" s="23" t="s">
        <v>58</v>
      </c>
      <c r="B19" s="21"/>
      <c r="C19" s="21"/>
      <c r="D19" s="21"/>
      <c r="E19" s="5"/>
      <c r="F19" s="7"/>
      <c r="G19" s="6"/>
    </row>
  </sheetData>
  <mergeCells count="5">
    <mergeCell ref="A19:D19"/>
    <mergeCell ref="A1:G1"/>
    <mergeCell ref="A3:G3"/>
    <mergeCell ref="A14:G14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rightToLeft="1" topLeftCell="A4" workbookViewId="0">
      <selection activeCell="D5" activeCellId="1" sqref="B5:B12 D5:D12"/>
    </sheetView>
  </sheetViews>
  <sheetFormatPr defaultRowHeight="14.25" x14ac:dyDescent="0.2"/>
  <cols>
    <col min="1" max="1" width="54" customWidth="1"/>
    <col min="2" max="2" width="16.5" customWidth="1"/>
    <col min="3" max="3" width="13" customWidth="1"/>
    <col min="4" max="4" width="13.625" customWidth="1"/>
    <col min="5" max="5" width="12.75" customWidth="1"/>
  </cols>
  <sheetData>
    <row r="1" spans="1:6" ht="15" thickBot="1" x14ac:dyDescent="0.25">
      <c r="A1" s="20" t="s">
        <v>59</v>
      </c>
      <c r="B1" s="21"/>
      <c r="C1" s="21"/>
      <c r="D1" s="21"/>
      <c r="E1" s="21"/>
    </row>
    <row r="2" spans="1:6" ht="15" thickBot="1" x14ac:dyDescent="0.25"/>
    <row r="3" spans="1:6" ht="15" thickBot="1" x14ac:dyDescent="0.25">
      <c r="A3" s="22" t="s">
        <v>60</v>
      </c>
      <c r="B3" s="21"/>
      <c r="C3" s="21"/>
      <c r="D3" s="21"/>
      <c r="E3" s="21"/>
    </row>
    <row r="5" spans="1:6" ht="30" x14ac:dyDescent="0.2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</row>
    <row r="6" spans="1:6" x14ac:dyDescent="0.2">
      <c r="A6" s="3" t="s">
        <v>8</v>
      </c>
      <c r="B6" s="4">
        <v>5</v>
      </c>
      <c r="C6" s="4">
        <v>12</v>
      </c>
      <c r="D6" s="4">
        <v>240</v>
      </c>
      <c r="E6" s="4" t="s">
        <v>67</v>
      </c>
      <c r="F6" s="3"/>
    </row>
    <row r="7" spans="1:6" x14ac:dyDescent="0.2">
      <c r="A7" s="3" t="s">
        <v>12</v>
      </c>
      <c r="B7" s="4">
        <v>8</v>
      </c>
      <c r="C7" s="4">
        <v>18</v>
      </c>
      <c r="D7" s="4">
        <v>360</v>
      </c>
      <c r="E7" s="4" t="s">
        <v>67</v>
      </c>
      <c r="F7" s="3"/>
    </row>
    <row r="8" spans="1:6" x14ac:dyDescent="0.2">
      <c r="A8" s="3" t="s">
        <v>16</v>
      </c>
      <c r="B8" s="4">
        <v>3</v>
      </c>
      <c r="C8" s="4">
        <v>7</v>
      </c>
      <c r="D8" s="4">
        <v>140</v>
      </c>
      <c r="E8" s="4" t="s">
        <v>68</v>
      </c>
      <c r="F8" s="3"/>
    </row>
    <row r="9" spans="1:6" ht="15" x14ac:dyDescent="0.2">
      <c r="A9" s="2" t="s">
        <v>19</v>
      </c>
      <c r="B9" s="2">
        <v>6</v>
      </c>
      <c r="C9" s="2">
        <v>15</v>
      </c>
      <c r="D9" s="2">
        <v>300</v>
      </c>
      <c r="E9" s="8" t="s">
        <v>67</v>
      </c>
      <c r="F9" s="2"/>
    </row>
    <row r="10" spans="1:6" x14ac:dyDescent="0.2">
      <c r="A10" s="3" t="s">
        <v>69</v>
      </c>
      <c r="B10" s="4">
        <v>2</v>
      </c>
      <c r="C10" s="4">
        <v>5</v>
      </c>
      <c r="D10" s="4">
        <v>100</v>
      </c>
      <c r="E10" s="4" t="s">
        <v>68</v>
      </c>
      <c r="F10" s="3"/>
    </row>
    <row r="11" spans="1:6" x14ac:dyDescent="0.2">
      <c r="A11" s="3" t="s">
        <v>70</v>
      </c>
      <c r="B11" s="4">
        <v>7</v>
      </c>
      <c r="C11" s="4">
        <v>20</v>
      </c>
      <c r="D11" s="4">
        <v>400</v>
      </c>
      <c r="E11" s="4" t="s">
        <v>67</v>
      </c>
      <c r="F11" s="3"/>
    </row>
    <row r="12" spans="1:6" x14ac:dyDescent="0.2">
      <c r="A12" s="3" t="s">
        <v>71</v>
      </c>
      <c r="B12" s="4">
        <v>4</v>
      </c>
      <c r="C12" s="4">
        <v>10</v>
      </c>
      <c r="D12" s="4">
        <v>200</v>
      </c>
      <c r="E12" s="4" t="s">
        <v>68</v>
      </c>
      <c r="F12" s="3"/>
    </row>
    <row r="13" spans="1:6" ht="15" thickBot="1" x14ac:dyDescent="0.25"/>
    <row r="14" spans="1:6" ht="16.5" thickBot="1" x14ac:dyDescent="0.25">
      <c r="A14" s="22"/>
      <c r="B14" s="21"/>
      <c r="C14" s="21"/>
      <c r="D14" s="21"/>
      <c r="E14" s="21"/>
    </row>
    <row r="15" spans="1:6" x14ac:dyDescent="0.2">
      <c r="A15" t="s">
        <v>72</v>
      </c>
    </row>
    <row r="16" spans="1:6" x14ac:dyDescent="0.2">
      <c r="A16" t="s">
        <v>73</v>
      </c>
    </row>
    <row r="17" spans="1:2" x14ac:dyDescent="0.2">
      <c r="A17" t="s">
        <v>74</v>
      </c>
    </row>
    <row r="18" spans="1:2" x14ac:dyDescent="0.2">
      <c r="A18" t="s">
        <v>75</v>
      </c>
      <c r="B18">
        <f>COUNTIF(E6:E12,"نعم")</f>
        <v>4</v>
      </c>
    </row>
    <row r="19" spans="1:2" x14ac:dyDescent="0.2">
      <c r="A19" t="s">
        <v>76</v>
      </c>
      <c r="B19" t="str">
        <f>IF(D7&gt;300,"ممتاز","ضعيف")</f>
        <v>ممتاز</v>
      </c>
    </row>
    <row r="20" spans="1:2" x14ac:dyDescent="0.2">
      <c r="A20" t="s">
        <v>77</v>
      </c>
      <c r="B20">
        <f>AVERAGEIF(E6:E12,"نعم",D6:D12)</f>
        <v>325</v>
      </c>
    </row>
    <row r="21" spans="1:2" x14ac:dyDescent="0.2">
      <c r="A21" s="9" t="s">
        <v>78</v>
      </c>
      <c r="B21">
        <f>COUNTIFS(B6:B12,"&gt;5",E6:E12,"نعم")</f>
        <v>3</v>
      </c>
    </row>
    <row r="22" spans="1:2" x14ac:dyDescent="0.2">
      <c r="A22" t="s">
        <v>79</v>
      </c>
    </row>
    <row r="23" spans="1:2" x14ac:dyDescent="0.2">
      <c r="A23" s="10"/>
    </row>
  </sheetData>
  <mergeCells count="3">
    <mergeCell ref="A1:E1"/>
    <mergeCell ref="A3:E3"/>
    <mergeCell ref="A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rightToLeft="1" topLeftCell="A5" workbookViewId="0">
      <selection activeCell="A14" sqref="A14"/>
    </sheetView>
  </sheetViews>
  <sheetFormatPr defaultRowHeight="14.25" x14ac:dyDescent="0.2"/>
  <cols>
    <col min="1" max="1" width="40.5" customWidth="1"/>
    <col min="2" max="2" width="15.375" customWidth="1"/>
  </cols>
  <sheetData>
    <row r="1" spans="1:6" ht="15" thickBot="1" x14ac:dyDescent="0.25">
      <c r="A1" s="20" t="s">
        <v>80</v>
      </c>
      <c r="B1" s="21"/>
      <c r="C1" s="21"/>
      <c r="D1" s="21"/>
      <c r="E1" s="21"/>
      <c r="F1" s="21"/>
    </row>
    <row r="2" spans="1:6" ht="15" thickBot="1" x14ac:dyDescent="0.25"/>
    <row r="3" spans="1:6" ht="15" thickBot="1" x14ac:dyDescent="0.25">
      <c r="A3" s="22" t="s">
        <v>81</v>
      </c>
      <c r="B3" s="21"/>
      <c r="C3" s="21"/>
      <c r="D3" s="21"/>
      <c r="E3" s="21"/>
      <c r="F3" s="21"/>
    </row>
    <row r="5" spans="1:6" ht="15" x14ac:dyDescent="0.2">
      <c r="A5" s="2" t="s">
        <v>82</v>
      </c>
      <c r="B5" s="2"/>
      <c r="C5" s="2"/>
      <c r="D5" s="2"/>
      <c r="E5" s="2"/>
      <c r="F5" s="2"/>
    </row>
    <row r="6" spans="1:6" x14ac:dyDescent="0.2">
      <c r="A6" s="1" t="s">
        <v>83</v>
      </c>
      <c r="B6" s="3"/>
      <c r="C6" s="3"/>
      <c r="D6" s="3"/>
      <c r="E6" s="3"/>
      <c r="F6" s="4"/>
    </row>
    <row r="7" spans="1:6" x14ac:dyDescent="0.2">
      <c r="A7" s="1" t="s">
        <v>84</v>
      </c>
      <c r="B7" s="3"/>
      <c r="C7" s="3"/>
      <c r="D7" s="3"/>
      <c r="E7" s="3"/>
      <c r="F7" s="4"/>
    </row>
    <row r="8" spans="1:6" x14ac:dyDescent="0.2">
      <c r="A8" s="1"/>
      <c r="B8" s="3"/>
      <c r="C8" s="3"/>
      <c r="D8" s="3"/>
      <c r="E8" s="3"/>
      <c r="F8" s="4"/>
    </row>
    <row r="9" spans="1:6" x14ac:dyDescent="0.2">
      <c r="A9" s="1" t="s">
        <v>85</v>
      </c>
      <c r="B9" s="3"/>
      <c r="C9" s="3"/>
      <c r="D9" s="3"/>
      <c r="E9" s="3"/>
      <c r="F9" s="4"/>
    </row>
    <row r="10" spans="1:6" x14ac:dyDescent="0.2">
      <c r="A10" s="1" t="s">
        <v>86</v>
      </c>
      <c r="B10" s="3"/>
      <c r="C10" s="3"/>
      <c r="D10" s="3"/>
      <c r="E10" s="3"/>
      <c r="F10" s="4"/>
    </row>
    <row r="11" spans="1:6" x14ac:dyDescent="0.2">
      <c r="A11" s="1"/>
      <c r="B11" s="3"/>
      <c r="C11" s="3"/>
      <c r="D11" s="3"/>
      <c r="E11" s="3"/>
      <c r="F11" s="4"/>
    </row>
    <row r="12" spans="1:6" x14ac:dyDescent="0.2">
      <c r="A12" s="1" t="s">
        <v>87</v>
      </c>
      <c r="B12" s="3"/>
      <c r="C12" s="3"/>
      <c r="D12" s="3"/>
      <c r="E12" s="3"/>
      <c r="F12" s="4"/>
    </row>
    <row r="13" spans="1:6" x14ac:dyDescent="0.2">
      <c r="A13" s="1"/>
      <c r="B13" s="3"/>
      <c r="C13" s="3"/>
      <c r="D13" s="3"/>
      <c r="E13" s="3"/>
      <c r="F13" s="4"/>
    </row>
    <row r="14" spans="1:6" x14ac:dyDescent="0.2">
      <c r="A14" s="12"/>
      <c r="B14" s="11"/>
      <c r="C14" s="11"/>
      <c r="D14" s="11"/>
      <c r="E14" s="11"/>
    </row>
  </sheetData>
  <mergeCells count="2">
    <mergeCell ref="A1:F1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rightToLeft="1" workbookViewId="0">
      <selection activeCell="B18" sqref="B18"/>
    </sheetView>
  </sheetViews>
  <sheetFormatPr defaultRowHeight="14.25" x14ac:dyDescent="0.2"/>
  <cols>
    <col min="1" max="1" width="20.25" customWidth="1"/>
    <col min="2" max="2" width="29.5" customWidth="1"/>
    <col min="4" max="4" width="11.875" customWidth="1"/>
  </cols>
  <sheetData>
    <row r="1" spans="1:5" ht="15" x14ac:dyDescent="0.2">
      <c r="A1" s="13" t="s">
        <v>92</v>
      </c>
      <c r="B1" s="13" t="s">
        <v>88</v>
      </c>
      <c r="C1" s="13" t="s">
        <v>93</v>
      </c>
      <c r="D1" s="15" t="s">
        <v>5</v>
      </c>
      <c r="E1" s="15" t="s">
        <v>94</v>
      </c>
    </row>
    <row r="2" spans="1:5" x14ac:dyDescent="0.2">
      <c r="A2" s="12" t="s">
        <v>8</v>
      </c>
      <c r="B2" s="12" t="s">
        <v>89</v>
      </c>
      <c r="C2" s="12" t="s">
        <v>95</v>
      </c>
      <c r="D2" s="14">
        <v>3</v>
      </c>
      <c r="E2" s="14">
        <v>15</v>
      </c>
    </row>
    <row r="3" spans="1:5" x14ac:dyDescent="0.2">
      <c r="A3" s="12" t="s">
        <v>12</v>
      </c>
      <c r="B3" s="12" t="s">
        <v>89</v>
      </c>
      <c r="C3" s="12" t="s">
        <v>96</v>
      </c>
      <c r="D3" s="14">
        <v>2</v>
      </c>
      <c r="E3" s="14">
        <v>40</v>
      </c>
    </row>
    <row r="4" spans="1:5" x14ac:dyDescent="0.2">
      <c r="A4" s="12" t="s">
        <v>16</v>
      </c>
      <c r="B4" s="12" t="s">
        <v>90</v>
      </c>
      <c r="C4" s="12" t="s">
        <v>97</v>
      </c>
      <c r="D4" s="14">
        <v>1</v>
      </c>
      <c r="E4" s="14">
        <v>120</v>
      </c>
    </row>
    <row r="5" spans="1:5" x14ac:dyDescent="0.2">
      <c r="A5" s="12" t="s">
        <v>98</v>
      </c>
      <c r="B5" s="12" t="s">
        <v>90</v>
      </c>
      <c r="C5" s="12" t="s">
        <v>95</v>
      </c>
      <c r="D5" s="14">
        <v>4</v>
      </c>
      <c r="E5" s="14">
        <v>20</v>
      </c>
    </row>
    <row r="6" spans="1:5" x14ac:dyDescent="0.2">
      <c r="A6" s="12" t="s">
        <v>99</v>
      </c>
      <c r="B6" s="12" t="s">
        <v>91</v>
      </c>
      <c r="C6" s="12" t="s">
        <v>96</v>
      </c>
      <c r="D6" s="14">
        <v>5</v>
      </c>
      <c r="E6" s="14">
        <v>100</v>
      </c>
    </row>
    <row r="7" spans="1:5" x14ac:dyDescent="0.2">
      <c r="A7" s="12" t="s">
        <v>100</v>
      </c>
      <c r="B7" s="12" t="s">
        <v>91</v>
      </c>
      <c r="C7" s="12" t="s">
        <v>97</v>
      </c>
      <c r="D7" s="14">
        <v>2</v>
      </c>
      <c r="E7" s="14">
        <v>240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2B6A-4049-4BE8-8843-E346B2F9F62B}">
  <dimension ref="A1:E9"/>
  <sheetViews>
    <sheetView rightToLeft="1" topLeftCell="B1" workbookViewId="0">
      <selection activeCell="B1" sqref="B1"/>
    </sheetView>
  </sheetViews>
  <sheetFormatPr defaultRowHeight="14.25" x14ac:dyDescent="0.2"/>
  <cols>
    <col min="1" max="3" width="6.625" bestFit="1" customWidth="1"/>
    <col min="4" max="4" width="12" bestFit="1" customWidth="1"/>
    <col min="5" max="5" width="6.5" bestFit="1" customWidth="1"/>
  </cols>
  <sheetData>
    <row r="1" spans="1:5" x14ac:dyDescent="0.2">
      <c r="A1" t="s">
        <v>92</v>
      </c>
      <c r="B1" t="s">
        <v>88</v>
      </c>
      <c r="C1" t="s">
        <v>93</v>
      </c>
      <c r="D1" t="s">
        <v>5</v>
      </c>
      <c r="E1" t="s">
        <v>94</v>
      </c>
    </row>
    <row r="2" spans="1:5" x14ac:dyDescent="0.2">
      <c r="A2" s="24" t="s">
        <v>8</v>
      </c>
      <c r="B2" s="24" t="s">
        <v>89</v>
      </c>
      <c r="C2" s="24" t="s">
        <v>95</v>
      </c>
      <c r="D2">
        <v>3</v>
      </c>
      <c r="E2">
        <v>15</v>
      </c>
    </row>
    <row r="3" spans="1:5" x14ac:dyDescent="0.2">
      <c r="A3" s="24" t="s">
        <v>12</v>
      </c>
      <c r="B3" s="24" t="s">
        <v>89</v>
      </c>
      <c r="C3" s="24" t="s">
        <v>96</v>
      </c>
      <c r="D3">
        <v>2</v>
      </c>
      <c r="E3">
        <v>40</v>
      </c>
    </row>
    <row r="4" spans="1:5" x14ac:dyDescent="0.2">
      <c r="A4" s="24" t="s">
        <v>16</v>
      </c>
      <c r="B4" s="24" t="s">
        <v>90</v>
      </c>
      <c r="C4" s="24" t="s">
        <v>97</v>
      </c>
      <c r="D4">
        <v>1</v>
      </c>
      <c r="E4">
        <v>120</v>
      </c>
    </row>
    <row r="5" spans="1:5" x14ac:dyDescent="0.2">
      <c r="A5" s="24" t="s">
        <v>98</v>
      </c>
      <c r="B5" s="24" t="s">
        <v>90</v>
      </c>
      <c r="C5" s="24" t="s">
        <v>95</v>
      </c>
      <c r="D5">
        <v>4</v>
      </c>
      <c r="E5">
        <v>20</v>
      </c>
    </row>
    <row r="6" spans="1:5" x14ac:dyDescent="0.2">
      <c r="A6" s="24" t="s">
        <v>99</v>
      </c>
      <c r="B6" s="24" t="s">
        <v>91</v>
      </c>
      <c r="C6" s="24" t="s">
        <v>96</v>
      </c>
      <c r="D6">
        <v>5</v>
      </c>
      <c r="E6">
        <v>100</v>
      </c>
    </row>
    <row r="7" spans="1:5" x14ac:dyDescent="0.2">
      <c r="A7" s="24" t="s">
        <v>100</v>
      </c>
      <c r="B7" s="24" t="s">
        <v>91</v>
      </c>
      <c r="C7" s="24" t="s">
        <v>97</v>
      </c>
      <c r="D7">
        <v>2</v>
      </c>
      <c r="E7">
        <v>240</v>
      </c>
    </row>
    <row r="8" spans="1:5" x14ac:dyDescent="0.2">
      <c r="A8" s="24" t="s">
        <v>101</v>
      </c>
      <c r="B8" s="24"/>
      <c r="C8" s="24"/>
    </row>
    <row r="9" spans="1:5" x14ac:dyDescent="0.2">
      <c r="A9" s="24" t="s">
        <v>102</v>
      </c>
      <c r="B9" s="24"/>
      <c r="C9" s="2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rightToLeft="1" workbookViewId="0">
      <selection activeCell="B1" sqref="B1:B8"/>
    </sheetView>
  </sheetViews>
  <sheetFormatPr defaultRowHeight="14.25" x14ac:dyDescent="0.2"/>
  <sheetData>
    <row r="1" spans="1:5" x14ac:dyDescent="0.2">
      <c r="A1" t="s">
        <v>92</v>
      </c>
      <c r="B1" t="s">
        <v>88</v>
      </c>
      <c r="C1" t="s">
        <v>93</v>
      </c>
      <c r="D1" t="s">
        <v>5</v>
      </c>
      <c r="E1" t="s">
        <v>94</v>
      </c>
    </row>
    <row r="2" spans="1:5" x14ac:dyDescent="0.2">
      <c r="A2" t="s">
        <v>8</v>
      </c>
      <c r="B2" t="s">
        <v>89</v>
      </c>
      <c r="C2" t="s">
        <v>95</v>
      </c>
      <c r="D2">
        <v>3</v>
      </c>
      <c r="E2">
        <v>15</v>
      </c>
    </row>
    <row r="3" spans="1:5" x14ac:dyDescent="0.2">
      <c r="A3" t="s">
        <v>12</v>
      </c>
      <c r="B3" t="s">
        <v>89</v>
      </c>
      <c r="C3" t="s">
        <v>96</v>
      </c>
      <c r="D3">
        <v>2</v>
      </c>
      <c r="E3">
        <v>40</v>
      </c>
    </row>
    <row r="4" spans="1:5" x14ac:dyDescent="0.2">
      <c r="A4" t="s">
        <v>16</v>
      </c>
      <c r="B4" t="s">
        <v>90</v>
      </c>
      <c r="C4" t="s">
        <v>97</v>
      </c>
      <c r="D4">
        <v>1</v>
      </c>
      <c r="E4">
        <v>120</v>
      </c>
    </row>
    <row r="5" spans="1:5" x14ac:dyDescent="0.2">
      <c r="A5" t="s">
        <v>98</v>
      </c>
      <c r="B5" t="s">
        <v>90</v>
      </c>
      <c r="C5" t="s">
        <v>95</v>
      </c>
      <c r="D5">
        <v>4</v>
      </c>
      <c r="E5">
        <v>20</v>
      </c>
    </row>
    <row r="6" spans="1:5" x14ac:dyDescent="0.2">
      <c r="A6" t="s">
        <v>99</v>
      </c>
      <c r="B6" t="s">
        <v>91</v>
      </c>
      <c r="C6" t="s">
        <v>96</v>
      </c>
      <c r="D6">
        <v>5</v>
      </c>
      <c r="E6">
        <v>100</v>
      </c>
    </row>
    <row r="7" spans="1:5" x14ac:dyDescent="0.2">
      <c r="A7" t="s">
        <v>100</v>
      </c>
      <c r="B7" t="s">
        <v>91</v>
      </c>
      <c r="C7" t="s">
        <v>97</v>
      </c>
      <c r="D7">
        <v>2</v>
      </c>
      <c r="E7">
        <v>240</v>
      </c>
    </row>
    <row r="8" spans="1:5" x14ac:dyDescent="0.2">
      <c r="A8" t="s">
        <v>101</v>
      </c>
    </row>
    <row r="9" spans="1:5" x14ac:dyDescent="0.2">
      <c r="A9" t="s">
        <v>102</v>
      </c>
    </row>
    <row r="10" spans="1:5" x14ac:dyDescent="0.2">
      <c r="A10" s="24" t="s">
        <v>12</v>
      </c>
      <c r="B10" s="24"/>
      <c r="C10" s="24"/>
      <c r="D10" s="24"/>
      <c r="E10" s="24"/>
    </row>
  </sheetData>
  <dataValidations count="1">
    <dataValidation type="list" allowBlank="1" showInputMessage="1" showErrorMessage="1" sqref="B2:B7 B1" xr:uid="{26C36469-E3D6-4FAA-9A55-B7C10C96F7AB}">
      <formula1>"يناير، فبراير"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B7E2-E9D3-4DE8-8CEB-7345D975151B}">
  <dimension ref="A1:E8"/>
  <sheetViews>
    <sheetView rightToLeft="1" workbookViewId="0">
      <selection sqref="A1:E9"/>
    </sheetView>
  </sheetViews>
  <sheetFormatPr defaultRowHeight="14.25" x14ac:dyDescent="0.2"/>
  <cols>
    <col min="1" max="3" width="6.625" bestFit="1" customWidth="1"/>
    <col min="4" max="4" width="12" bestFit="1" customWidth="1"/>
    <col min="5" max="5" width="6.5" bestFit="1" customWidth="1"/>
  </cols>
  <sheetData>
    <row r="1" spans="1:5" x14ac:dyDescent="0.2">
      <c r="A1" t="s">
        <v>92</v>
      </c>
      <c r="B1" t="s">
        <v>88</v>
      </c>
      <c r="C1" t="s">
        <v>93</v>
      </c>
      <c r="D1" t="s">
        <v>5</v>
      </c>
      <c r="E1" t="s">
        <v>94</v>
      </c>
    </row>
    <row r="2" spans="1:5" x14ac:dyDescent="0.2">
      <c r="A2" s="24" t="s">
        <v>103</v>
      </c>
      <c r="B2" s="24" t="s">
        <v>89</v>
      </c>
      <c r="C2" s="24" t="s">
        <v>95</v>
      </c>
      <c r="D2">
        <v>3</v>
      </c>
      <c r="E2">
        <v>15</v>
      </c>
    </row>
    <row r="3" spans="1:5" x14ac:dyDescent="0.2">
      <c r="A3" s="24" t="s">
        <v>12</v>
      </c>
      <c r="B3" s="24" t="s">
        <v>90</v>
      </c>
      <c r="C3" s="24" t="s">
        <v>96</v>
      </c>
      <c r="D3">
        <v>2</v>
      </c>
      <c r="E3">
        <v>40</v>
      </c>
    </row>
    <row r="4" spans="1:5" x14ac:dyDescent="0.2">
      <c r="A4" s="24" t="s">
        <v>16</v>
      </c>
      <c r="B4" s="24" t="s">
        <v>90</v>
      </c>
      <c r="C4" s="24" t="s">
        <v>97</v>
      </c>
      <c r="D4">
        <v>1</v>
      </c>
      <c r="E4">
        <v>120</v>
      </c>
    </row>
    <row r="5" spans="1:5" x14ac:dyDescent="0.2">
      <c r="A5" s="24" t="s">
        <v>98</v>
      </c>
      <c r="B5" s="24" t="s">
        <v>90</v>
      </c>
      <c r="C5" s="24" t="s">
        <v>95</v>
      </c>
      <c r="D5">
        <v>4</v>
      </c>
      <c r="E5">
        <v>20</v>
      </c>
    </row>
    <row r="6" spans="1:5" x14ac:dyDescent="0.2">
      <c r="A6" s="24" t="s">
        <v>100</v>
      </c>
      <c r="B6" s="24" t="s">
        <v>91</v>
      </c>
      <c r="C6" s="24" t="s">
        <v>97</v>
      </c>
      <c r="D6">
        <v>2</v>
      </c>
      <c r="E6">
        <v>240</v>
      </c>
    </row>
    <row r="7" spans="1:5" x14ac:dyDescent="0.2">
      <c r="A7" s="24" t="s">
        <v>106</v>
      </c>
      <c r="B7" s="24" t="s">
        <v>89</v>
      </c>
      <c r="C7" s="24" t="s">
        <v>96</v>
      </c>
      <c r="D7">
        <v>2</v>
      </c>
      <c r="E7">
        <v>50</v>
      </c>
    </row>
    <row r="8" spans="1:5" x14ac:dyDescent="0.2">
      <c r="A8" s="24" t="s">
        <v>108</v>
      </c>
      <c r="B8" s="24" t="s">
        <v>91</v>
      </c>
      <c r="C8" s="24" t="s">
        <v>96</v>
      </c>
      <c r="D8">
        <v>3</v>
      </c>
      <c r="E8">
        <v>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rightToLeft="1" workbookViewId="0">
      <selection sqref="A1:E21"/>
    </sheetView>
  </sheetViews>
  <sheetFormatPr defaultRowHeight="14.25" x14ac:dyDescent="0.2"/>
  <sheetData>
    <row r="1" spans="1:5" ht="30" x14ac:dyDescent="0.2">
      <c r="A1" s="16" t="s">
        <v>92</v>
      </c>
      <c r="B1" s="16" t="s">
        <v>88</v>
      </c>
      <c r="C1" s="16" t="s">
        <v>93</v>
      </c>
      <c r="D1" s="16" t="s">
        <v>5</v>
      </c>
      <c r="E1" s="16" t="s">
        <v>94</v>
      </c>
    </row>
    <row r="2" spans="1:5" x14ac:dyDescent="0.2">
      <c r="A2" s="12" t="s">
        <v>103</v>
      </c>
      <c r="B2" s="12" t="s">
        <v>89</v>
      </c>
      <c r="C2" s="12" t="s">
        <v>95</v>
      </c>
      <c r="D2" s="12">
        <v>3</v>
      </c>
      <c r="E2" s="12">
        <v>15</v>
      </c>
    </row>
    <row r="3" spans="1:5" x14ac:dyDescent="0.2">
      <c r="A3" s="12" t="s">
        <v>8</v>
      </c>
      <c r="B3" s="12" t="s">
        <v>89</v>
      </c>
      <c r="C3" s="12" t="s">
        <v>95</v>
      </c>
      <c r="D3" s="12">
        <v>3</v>
      </c>
      <c r="E3" s="12">
        <v>15</v>
      </c>
    </row>
    <row r="4" spans="1:5" x14ac:dyDescent="0.2">
      <c r="A4" s="12" t="s">
        <v>12</v>
      </c>
      <c r="B4" s="12" t="s">
        <v>104</v>
      </c>
      <c r="C4" s="12" t="s">
        <v>96</v>
      </c>
      <c r="D4" s="12">
        <v>2</v>
      </c>
      <c r="E4" s="12">
        <v>40</v>
      </c>
    </row>
    <row r="5" spans="1:5" x14ac:dyDescent="0.2">
      <c r="A5" s="12" t="s">
        <v>16</v>
      </c>
      <c r="B5" s="12" t="s">
        <v>90</v>
      </c>
      <c r="C5" s="12" t="s">
        <v>105</v>
      </c>
      <c r="D5" s="12">
        <v>1</v>
      </c>
      <c r="E5" s="12">
        <v>120</v>
      </c>
    </row>
    <row r="6" spans="1:5" x14ac:dyDescent="0.2">
      <c r="A6" s="12" t="s">
        <v>98</v>
      </c>
      <c r="B6" s="12" t="s">
        <v>90</v>
      </c>
      <c r="C6" s="12" t="s">
        <v>95</v>
      </c>
      <c r="D6" s="12">
        <v>4</v>
      </c>
      <c r="E6" s="12">
        <v>20</v>
      </c>
    </row>
    <row r="7" spans="1:5" x14ac:dyDescent="0.2">
      <c r="A7" s="12" t="s">
        <v>99</v>
      </c>
      <c r="B7" s="12" t="s">
        <v>91</v>
      </c>
      <c r="C7" s="12" t="s">
        <v>96</v>
      </c>
      <c r="D7" s="12">
        <v>5</v>
      </c>
      <c r="E7" s="12">
        <v>100</v>
      </c>
    </row>
    <row r="8" spans="1:5" x14ac:dyDescent="0.2">
      <c r="A8" s="12" t="s">
        <v>100</v>
      </c>
      <c r="B8" s="12" t="s">
        <v>91</v>
      </c>
      <c r="C8" s="12" t="s">
        <v>97</v>
      </c>
      <c r="D8" s="12">
        <v>2</v>
      </c>
      <c r="E8" s="12">
        <v>240</v>
      </c>
    </row>
    <row r="9" spans="1:5" x14ac:dyDescent="0.2">
      <c r="A9" s="12" t="s">
        <v>106</v>
      </c>
      <c r="B9" s="12" t="s">
        <v>89</v>
      </c>
      <c r="C9" s="12" t="s">
        <v>96</v>
      </c>
      <c r="D9" s="12">
        <v>2</v>
      </c>
      <c r="E9" s="12">
        <v>50</v>
      </c>
    </row>
    <row r="10" spans="1:5" x14ac:dyDescent="0.2">
      <c r="A10" s="12" t="s">
        <v>107</v>
      </c>
      <c r="B10" s="12" t="s">
        <v>90</v>
      </c>
      <c r="C10" s="12" t="s">
        <v>95</v>
      </c>
      <c r="D10" s="12">
        <v>1</v>
      </c>
      <c r="E10" s="12">
        <v>10</v>
      </c>
    </row>
    <row r="11" spans="1:5" x14ac:dyDescent="0.2">
      <c r="A11" s="12" t="s">
        <v>108</v>
      </c>
      <c r="B11" s="12" t="s">
        <v>91</v>
      </c>
      <c r="C11" s="12" t="s">
        <v>96</v>
      </c>
      <c r="D11" s="12">
        <v>3</v>
      </c>
      <c r="E11" s="12">
        <v>60</v>
      </c>
    </row>
    <row r="12" spans="1:5" x14ac:dyDescent="0.2">
      <c r="A12" s="12" t="s">
        <v>16</v>
      </c>
      <c r="B12" s="12" t="s">
        <v>91</v>
      </c>
      <c r="C12" s="12" t="s">
        <v>95</v>
      </c>
      <c r="D12" s="12">
        <v>2</v>
      </c>
      <c r="E12" s="12">
        <v>15</v>
      </c>
    </row>
    <row r="13" spans="1:5" x14ac:dyDescent="0.2">
      <c r="A13" s="12" t="s">
        <v>103</v>
      </c>
      <c r="B13" s="12" t="s">
        <v>109</v>
      </c>
      <c r="C13" s="12" t="s">
        <v>105</v>
      </c>
      <c r="D13" s="12">
        <v>1</v>
      </c>
      <c r="E13" s="12">
        <v>120</v>
      </c>
    </row>
    <row r="14" spans="1:5" x14ac:dyDescent="0.2">
      <c r="A14" s="12" t="s">
        <v>100</v>
      </c>
      <c r="B14" s="12" t="s">
        <v>109</v>
      </c>
      <c r="C14" s="12" t="s">
        <v>95</v>
      </c>
      <c r="D14" s="12">
        <v>5</v>
      </c>
      <c r="E14" s="12">
        <v>25</v>
      </c>
    </row>
    <row r="15" spans="1:5" x14ac:dyDescent="0.2">
      <c r="A15" s="12" t="s">
        <v>98</v>
      </c>
      <c r="B15" s="12" t="s">
        <v>110</v>
      </c>
      <c r="C15" s="12" t="s">
        <v>96</v>
      </c>
      <c r="D15" s="12">
        <v>3</v>
      </c>
      <c r="E15" s="12">
        <v>60</v>
      </c>
    </row>
    <row r="16" spans="1:5" x14ac:dyDescent="0.2">
      <c r="A16" s="12" t="s">
        <v>106</v>
      </c>
      <c r="B16" s="12" t="s">
        <v>110</v>
      </c>
      <c r="C16" s="12" t="s">
        <v>105</v>
      </c>
      <c r="D16" s="12">
        <v>2</v>
      </c>
      <c r="E16" s="12">
        <v>240</v>
      </c>
    </row>
    <row r="17" spans="1:5" x14ac:dyDescent="0.2">
      <c r="A17" s="12" t="s">
        <v>103</v>
      </c>
      <c r="B17" s="12" t="s">
        <v>111</v>
      </c>
      <c r="C17" s="12" t="s">
        <v>95</v>
      </c>
      <c r="D17" s="12">
        <v>2</v>
      </c>
      <c r="E17" s="12">
        <v>10</v>
      </c>
    </row>
    <row r="18" spans="1:5" x14ac:dyDescent="0.2">
      <c r="A18" s="12" t="s">
        <v>12</v>
      </c>
      <c r="B18" s="12" t="s">
        <v>111</v>
      </c>
      <c r="C18" s="12" t="s">
        <v>96</v>
      </c>
      <c r="D18" s="12">
        <v>4</v>
      </c>
      <c r="E18" s="12">
        <v>80</v>
      </c>
    </row>
    <row r="19" spans="1:5" x14ac:dyDescent="0.2">
      <c r="A19" s="12" t="s">
        <v>100</v>
      </c>
      <c r="B19" s="12" t="s">
        <v>111</v>
      </c>
      <c r="C19" s="12" t="s">
        <v>105</v>
      </c>
      <c r="D19" s="12">
        <v>1</v>
      </c>
      <c r="E19" s="12">
        <v>120</v>
      </c>
    </row>
    <row r="20" spans="1:5" x14ac:dyDescent="0.2">
      <c r="A20" s="12" t="s">
        <v>108</v>
      </c>
      <c r="B20" s="12" t="s">
        <v>111</v>
      </c>
      <c r="C20" s="12" t="s">
        <v>95</v>
      </c>
      <c r="D20" s="12">
        <v>3</v>
      </c>
      <c r="E20" s="12">
        <v>15</v>
      </c>
    </row>
    <row r="21" spans="1:5" x14ac:dyDescent="0.2">
      <c r="A21" s="12" t="s">
        <v>16</v>
      </c>
      <c r="B21" s="12" t="s">
        <v>111</v>
      </c>
      <c r="C21" s="12" t="s">
        <v>96</v>
      </c>
      <c r="D21" s="12">
        <v>2</v>
      </c>
      <c r="E21" s="12">
        <v>40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rightToLeft="1" tabSelected="1" workbookViewId="0">
      <selection activeCell="F1" activeCellId="1" sqref="D1:D11 F1:F11"/>
    </sheetView>
  </sheetViews>
  <sheetFormatPr defaultRowHeight="14.25" x14ac:dyDescent="0.2"/>
  <cols>
    <col min="1" max="1" width="56.375" customWidth="1"/>
  </cols>
  <sheetData>
    <row r="1" spans="1:7" ht="45" x14ac:dyDescent="0.2">
      <c r="A1" s="16" t="s">
        <v>112</v>
      </c>
      <c r="B1" s="16" t="s">
        <v>2</v>
      </c>
      <c r="C1" s="16" t="s">
        <v>113</v>
      </c>
      <c r="D1" s="16" t="s">
        <v>114</v>
      </c>
      <c r="E1" s="16" t="s">
        <v>115</v>
      </c>
      <c r="F1" s="16" t="s">
        <v>116</v>
      </c>
      <c r="G1" s="16" t="s">
        <v>117</v>
      </c>
    </row>
    <row r="2" spans="1:7" x14ac:dyDescent="0.2">
      <c r="A2" s="12">
        <v>101</v>
      </c>
      <c r="B2" s="12" t="s">
        <v>8</v>
      </c>
      <c r="C2" s="12" t="s">
        <v>35</v>
      </c>
      <c r="D2" s="12">
        <v>45</v>
      </c>
      <c r="E2" s="12">
        <v>20</v>
      </c>
      <c r="F2" s="12">
        <v>28</v>
      </c>
      <c r="G2" s="12">
        <v>1</v>
      </c>
    </row>
    <row r="3" spans="1:7" x14ac:dyDescent="0.2">
      <c r="A3" s="12">
        <v>102</v>
      </c>
      <c r="B3" s="12" t="s">
        <v>12</v>
      </c>
      <c r="C3" s="12" t="s">
        <v>118</v>
      </c>
      <c r="D3" s="12">
        <v>38</v>
      </c>
      <c r="E3" s="12">
        <v>22</v>
      </c>
      <c r="F3" s="12">
        <v>32</v>
      </c>
      <c r="G3" s="12">
        <v>0</v>
      </c>
    </row>
    <row r="4" spans="1:7" x14ac:dyDescent="0.2">
      <c r="A4" s="12">
        <v>103</v>
      </c>
      <c r="B4" s="12" t="s">
        <v>16</v>
      </c>
      <c r="C4" s="12" t="s">
        <v>119</v>
      </c>
      <c r="D4" s="12">
        <v>50</v>
      </c>
      <c r="E4" s="12">
        <v>18</v>
      </c>
      <c r="F4" s="12">
        <v>26</v>
      </c>
      <c r="G4" s="12">
        <v>2</v>
      </c>
    </row>
    <row r="5" spans="1:7" x14ac:dyDescent="0.2">
      <c r="A5" s="12">
        <v>104</v>
      </c>
      <c r="B5" s="12" t="s">
        <v>100</v>
      </c>
      <c r="C5" s="12" t="s">
        <v>35</v>
      </c>
      <c r="D5" s="12">
        <v>42</v>
      </c>
      <c r="E5" s="12">
        <v>21</v>
      </c>
      <c r="F5" s="12">
        <v>29</v>
      </c>
      <c r="G5" s="12">
        <v>0</v>
      </c>
    </row>
    <row r="6" spans="1:7" x14ac:dyDescent="0.2">
      <c r="A6" s="12">
        <v>105</v>
      </c>
      <c r="B6" s="12" t="s">
        <v>71</v>
      </c>
      <c r="C6" s="12" t="s">
        <v>118</v>
      </c>
      <c r="D6" s="12">
        <v>36</v>
      </c>
      <c r="E6" s="12">
        <v>23</v>
      </c>
      <c r="F6" s="12">
        <v>35</v>
      </c>
      <c r="G6" s="12">
        <v>3</v>
      </c>
    </row>
    <row r="7" spans="1:7" x14ac:dyDescent="0.2">
      <c r="A7" s="12">
        <v>106</v>
      </c>
      <c r="B7" s="12" t="s">
        <v>19</v>
      </c>
      <c r="C7" s="12" t="s">
        <v>119</v>
      </c>
      <c r="D7" s="12">
        <v>40</v>
      </c>
      <c r="E7" s="12">
        <v>19</v>
      </c>
      <c r="F7" s="12">
        <v>31</v>
      </c>
      <c r="G7" s="12">
        <v>0</v>
      </c>
    </row>
    <row r="8" spans="1:7" x14ac:dyDescent="0.2">
      <c r="A8" s="12">
        <v>107</v>
      </c>
      <c r="B8" s="12" t="s">
        <v>120</v>
      </c>
      <c r="C8" s="12" t="s">
        <v>35</v>
      </c>
      <c r="D8" s="12">
        <v>48</v>
      </c>
      <c r="E8" s="12">
        <v>20</v>
      </c>
      <c r="F8" s="12">
        <v>27</v>
      </c>
      <c r="G8" s="12">
        <v>1</v>
      </c>
    </row>
    <row r="9" spans="1:7" x14ac:dyDescent="0.2">
      <c r="A9" s="12">
        <v>108</v>
      </c>
      <c r="B9" s="12" t="s">
        <v>121</v>
      </c>
      <c r="C9" s="12" t="s">
        <v>118</v>
      </c>
      <c r="D9" s="12">
        <v>37</v>
      </c>
      <c r="E9" s="12">
        <v>24</v>
      </c>
      <c r="F9" s="12">
        <v>33</v>
      </c>
      <c r="G9" s="12">
        <v>0</v>
      </c>
    </row>
    <row r="10" spans="1:7" x14ac:dyDescent="0.2">
      <c r="A10" s="12">
        <v>109</v>
      </c>
      <c r="B10" s="12" t="s">
        <v>122</v>
      </c>
      <c r="C10" s="12" t="s">
        <v>119</v>
      </c>
      <c r="D10" s="12">
        <v>44</v>
      </c>
      <c r="E10" s="12">
        <v>18</v>
      </c>
      <c r="F10" s="12">
        <v>30</v>
      </c>
      <c r="G10" s="12">
        <v>2</v>
      </c>
    </row>
    <row r="11" spans="1:7" x14ac:dyDescent="0.2">
      <c r="A11" s="12">
        <v>110</v>
      </c>
      <c r="B11" s="12" t="s">
        <v>69</v>
      </c>
      <c r="C11" s="12" t="s">
        <v>35</v>
      </c>
      <c r="D11" s="12">
        <v>41</v>
      </c>
      <c r="E11" s="12">
        <v>20</v>
      </c>
      <c r="F11" s="12">
        <v>28</v>
      </c>
      <c r="G11" s="12">
        <v>0</v>
      </c>
    </row>
    <row r="13" spans="1:7" x14ac:dyDescent="0.2">
      <c r="A13" t="s">
        <v>123</v>
      </c>
    </row>
    <row r="14" spans="1:7" x14ac:dyDescent="0.2">
      <c r="A14" t="s">
        <v>124</v>
      </c>
    </row>
    <row r="15" spans="1:7" x14ac:dyDescent="0.2">
      <c r="A15" t="s">
        <v>125</v>
      </c>
    </row>
    <row r="16" spans="1:7" x14ac:dyDescent="0.2">
      <c r="A16" t="s">
        <v>126</v>
      </c>
    </row>
    <row r="17" spans="1:1" x14ac:dyDescent="0.2">
      <c r="A17" t="s">
        <v>127</v>
      </c>
    </row>
    <row r="19" spans="1:1" ht="57" x14ac:dyDescent="0.2">
      <c r="A19" s="17" t="s">
        <v>128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EAA02-733E-4868-A6FF-CDDF6C99EB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ورقة1</vt:lpstr>
      <vt:lpstr>ورقة2</vt:lpstr>
      <vt:lpstr>ورقة3</vt:lpstr>
      <vt:lpstr>ورقة4</vt:lpstr>
      <vt:lpstr>ورقة5</vt:lpstr>
      <vt:lpstr>الجدول1_2</vt:lpstr>
      <vt:lpstr>ورقة6</vt:lpstr>
      <vt:lpstr>الجدول3</vt:lpstr>
      <vt:lpstr>ورقة7</vt:lpstr>
      <vt:lpstr>ورقة8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Eng.Meray</cp:lastModifiedBy>
  <dcterms:created xsi:type="dcterms:W3CDTF">2026-04-08T18:49:03Z</dcterms:created>
  <dcterms:modified xsi:type="dcterms:W3CDTF">2026-04-09T11:57:03Z</dcterms:modified>
</cp:coreProperties>
</file>